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s Projets\facture-electro\Exe\"/>
    </mc:Choice>
  </mc:AlternateContent>
  <bookViews>
    <workbookView xWindow="0" yWindow="0" windowWidth="24000" windowHeight="109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F6" i="1" l="1"/>
  <c r="D14" i="1" l="1"/>
  <c r="E14" i="1" s="1"/>
  <c r="E17" i="1"/>
  <c r="E18" i="1"/>
  <c r="E19" i="1"/>
  <c r="F19" i="1" s="1"/>
  <c r="E20" i="1"/>
  <c r="E21" i="1"/>
  <c r="E22" i="1"/>
  <c r="F22" i="1" s="1"/>
  <c r="E23" i="1"/>
  <c r="F23" i="1" s="1"/>
  <c r="E25" i="1"/>
  <c r="E26" i="1"/>
  <c r="F26" i="1" s="1"/>
  <c r="E27" i="1"/>
  <c r="F27" i="1" s="1"/>
  <c r="E13" i="1"/>
  <c r="F13" i="1" s="1"/>
  <c r="F18" i="1" l="1"/>
  <c r="F20" i="1"/>
  <c r="E24" i="1"/>
  <c r="F24" i="1" s="1"/>
  <c r="F14" i="1"/>
  <c r="F25" i="1"/>
  <c r="F21" i="1"/>
  <c r="F17" i="1"/>
  <c r="D28" i="1"/>
  <c r="F7" i="1" s="1"/>
  <c r="F9" i="1" s="1"/>
  <c r="F28" i="1" l="1"/>
  <c r="E28" i="1"/>
</calcChain>
</file>

<file path=xl/sharedStrings.xml><?xml version="1.0" encoding="utf-8"?>
<sst xmlns="http://schemas.openxmlformats.org/spreadsheetml/2006/main" count="28" uniqueCount="28">
  <si>
    <t>facture</t>
  </si>
  <si>
    <t>TND</t>
  </si>
  <si>
    <t>SOCIETE FOURNISSEUR</t>
  </si>
  <si>
    <t>1234567V/A/M/000</t>
  </si>
  <si>
    <t>REGISTRE DU COMMERCE</t>
  </si>
  <si>
    <t>2184, AV  HABIB ECHATTI SFAX</t>
  </si>
  <si>
    <t>client acheteur</t>
  </si>
  <si>
    <t>7654321B/A/M/000</t>
  </si>
  <si>
    <t>1145 RUE DES LUMIERES</t>
  </si>
  <si>
    <t>BORJ ENNOUR</t>
  </si>
  <si>
    <t>QTE</t>
  </si>
  <si>
    <t>PU HT</t>
  </si>
  <si>
    <t xml:space="preserve">TOT HT </t>
  </si>
  <si>
    <t>TVA</t>
  </si>
  <si>
    <t>TOT TTC</t>
  </si>
  <si>
    <t>TOTAUX</t>
  </si>
  <si>
    <t>TVA 0%</t>
  </si>
  <si>
    <t>TVA7%</t>
  </si>
  <si>
    <t>TVA 13%</t>
  </si>
  <si>
    <t>TVA 19%</t>
  </si>
  <si>
    <t>TOTAL TVA</t>
  </si>
  <si>
    <t>TIMBRE</t>
  </si>
  <si>
    <t>TOTAL TTC</t>
  </si>
  <si>
    <t>logiciel de facturation</t>
  </si>
  <si>
    <t>formation et mise en œuvre</t>
  </si>
  <si>
    <t>ARTICLES</t>
  </si>
  <si>
    <t>ht facture</t>
  </si>
  <si>
    <t>frais de deplacement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</si>
</sst>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D28" sqref="D28"/>
    </sheetView>
  </sheetViews>
  <sheetFormatPr baseColWidth="10" defaultRowHeight="15" x14ac:dyDescent="0.25"/>
  <cols>
    <col min="1" max="1" width="34" customWidth="1"/>
  </cols>
  <sheetData>
    <row r="1" spans="1:7" x14ac:dyDescent="0.25">
      <c r="B1" t="s">
        <v>0</v>
      </c>
      <c r="C1">
        <v>20260001</v>
      </c>
      <c r="D1" s="1">
        <v>46259</v>
      </c>
      <c r="E1" t="s">
        <v>1</v>
      </c>
    </row>
    <row r="2" spans="1:7" x14ac:dyDescent="0.25">
      <c r="A2" t="s">
        <v>2</v>
      </c>
      <c r="E2" t="s">
        <v>16</v>
      </c>
      <c r="F2" s="6"/>
    </row>
    <row r="3" spans="1:7" x14ac:dyDescent="0.25">
      <c r="A3" t="s">
        <v>3</v>
      </c>
      <c r="E3" t="s">
        <v>17</v>
      </c>
      <c r="F3" s="6">
        <v>28</v>
      </c>
    </row>
    <row r="4" spans="1:7" x14ac:dyDescent="0.25">
      <c r="A4" t="s">
        <v>4</v>
      </c>
      <c r="E4" t="s">
        <v>18</v>
      </c>
      <c r="F4" s="6"/>
    </row>
    <row r="5" spans="1:7" x14ac:dyDescent="0.25">
      <c r="A5" t="s">
        <v>5</v>
      </c>
      <c r="E5" t="s">
        <v>19</v>
      </c>
      <c r="F5" s="6">
        <v>427.5</v>
      </c>
    </row>
    <row r="6" spans="1:7" x14ac:dyDescent="0.25">
      <c r="E6" t="s">
        <v>20</v>
      </c>
      <c r="F6" s="6">
        <f>SUM(F2:F5)</f>
        <v>455.5</v>
      </c>
    </row>
    <row r="7" spans="1:7" x14ac:dyDescent="0.25">
      <c r="A7" t="s">
        <v>6</v>
      </c>
      <c r="E7" t="s">
        <v>26</v>
      </c>
      <c r="F7" s="6">
        <f>D28</f>
        <v>2650</v>
      </c>
    </row>
    <row r="8" spans="1:7" x14ac:dyDescent="0.25">
      <c r="A8" t="s">
        <v>7</v>
      </c>
      <c r="E8" t="s">
        <v>21</v>
      </c>
      <c r="F8" s="6">
        <v>1</v>
      </c>
      <c r="G8" s="6"/>
    </row>
    <row r="9" spans="1:7" x14ac:dyDescent="0.25">
      <c r="A9" t="s">
        <v>8</v>
      </c>
      <c r="E9" t="s">
        <v>22</v>
      </c>
      <c r="F9" s="6">
        <f>F8+F7+F6</f>
        <v>3106.5</v>
      </c>
    </row>
    <row r="10" spans="1:7" x14ac:dyDescent="0.25">
      <c r="A10" t="s">
        <v>9</v>
      </c>
    </row>
    <row r="12" spans="1:7" x14ac:dyDescent="0.25">
      <c r="A12" s="2" t="s">
        <v>25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</row>
    <row r="13" spans="1:7" x14ac:dyDescent="0.25">
      <c r="A13" s="3" t="s">
        <v>23</v>
      </c>
      <c r="B13" s="7">
        <v>1</v>
      </c>
      <c r="C13" s="7">
        <v>1750</v>
      </c>
      <c r="D13" s="7">
        <v>1750</v>
      </c>
      <c r="E13" s="7">
        <f>D13*19/100</f>
        <v>332.5</v>
      </c>
      <c r="F13" s="7">
        <f>D13+E13</f>
        <v>2082.5</v>
      </c>
    </row>
    <row r="14" spans="1:7" x14ac:dyDescent="0.25">
      <c r="A14" s="4" t="s">
        <v>24</v>
      </c>
      <c r="B14" s="8">
        <v>1</v>
      </c>
      <c r="C14" s="8">
        <v>500</v>
      </c>
      <c r="D14" s="7">
        <f t="shared" ref="D14:D27" si="0">C14*B14</f>
        <v>500</v>
      </c>
      <c r="E14" s="7">
        <f t="shared" ref="E14:E27" si="1">D14*19/100</f>
        <v>95</v>
      </c>
      <c r="F14" s="7">
        <f t="shared" ref="F14:F27" si="2">D14+E14</f>
        <v>595</v>
      </c>
    </row>
    <row r="15" spans="1:7" x14ac:dyDescent="0.25">
      <c r="A15" s="4" t="s">
        <v>27</v>
      </c>
      <c r="B15" s="8">
        <v>5</v>
      </c>
      <c r="C15" s="8">
        <v>80</v>
      </c>
      <c r="D15" s="7">
        <f t="shared" si="0"/>
        <v>400</v>
      </c>
      <c r="E15" s="7">
        <f>D15*7/100</f>
        <v>28</v>
      </c>
      <c r="F15" s="7">
        <f t="shared" si="2"/>
        <v>428</v>
      </c>
    </row>
    <row r="16" spans="1:7" x14ac:dyDescent="0.25">
      <c r="A16" s="4"/>
      <c r="B16" s="8"/>
      <c r="C16" s="8"/>
      <c r="D16" s="7">
        <f t="shared" si="0"/>
        <v>0</v>
      </c>
      <c r="E16" s="7"/>
      <c r="F16" s="7"/>
    </row>
    <row r="17" spans="1:6" x14ac:dyDescent="0.25">
      <c r="A17" s="4"/>
      <c r="B17" s="8"/>
      <c r="C17" s="8"/>
      <c r="D17" s="7">
        <f t="shared" si="0"/>
        <v>0</v>
      </c>
      <c r="E17" s="7">
        <f t="shared" si="1"/>
        <v>0</v>
      </c>
      <c r="F17" s="7">
        <f t="shared" si="2"/>
        <v>0</v>
      </c>
    </row>
    <row r="18" spans="1:6" x14ac:dyDescent="0.25">
      <c r="A18" s="4"/>
      <c r="B18" s="8"/>
      <c r="C18" s="8"/>
      <c r="D18" s="7">
        <f t="shared" si="0"/>
        <v>0</v>
      </c>
      <c r="E18" s="7">
        <f t="shared" si="1"/>
        <v>0</v>
      </c>
      <c r="F18" s="7">
        <f t="shared" si="2"/>
        <v>0</v>
      </c>
    </row>
    <row r="19" spans="1:6" x14ac:dyDescent="0.25">
      <c r="A19" s="4"/>
      <c r="B19" s="8"/>
      <c r="C19" s="8"/>
      <c r="D19" s="7">
        <f t="shared" si="0"/>
        <v>0</v>
      </c>
      <c r="E19" s="7">
        <f t="shared" si="1"/>
        <v>0</v>
      </c>
      <c r="F19" s="7">
        <f t="shared" si="2"/>
        <v>0</v>
      </c>
    </row>
    <row r="20" spans="1:6" x14ac:dyDescent="0.25">
      <c r="A20" s="4"/>
      <c r="B20" s="8"/>
      <c r="C20" s="8"/>
      <c r="D20" s="7">
        <f t="shared" si="0"/>
        <v>0</v>
      </c>
      <c r="E20" s="7">
        <f t="shared" si="1"/>
        <v>0</v>
      </c>
      <c r="F20" s="7">
        <f t="shared" si="2"/>
        <v>0</v>
      </c>
    </row>
    <row r="21" spans="1:6" x14ac:dyDescent="0.25">
      <c r="A21" s="4"/>
      <c r="B21" s="8"/>
      <c r="C21" s="8"/>
      <c r="D21" s="7">
        <f t="shared" si="0"/>
        <v>0</v>
      </c>
      <c r="E21" s="7">
        <f t="shared" si="1"/>
        <v>0</v>
      </c>
      <c r="F21" s="7">
        <f t="shared" si="2"/>
        <v>0</v>
      </c>
    </row>
    <row r="22" spans="1:6" x14ac:dyDescent="0.25">
      <c r="A22" s="4"/>
      <c r="B22" s="8"/>
      <c r="C22" s="8"/>
      <c r="D22" s="7">
        <f t="shared" si="0"/>
        <v>0</v>
      </c>
      <c r="E22" s="7">
        <f t="shared" si="1"/>
        <v>0</v>
      </c>
      <c r="F22" s="7">
        <f t="shared" si="2"/>
        <v>0</v>
      </c>
    </row>
    <row r="23" spans="1:6" x14ac:dyDescent="0.25">
      <c r="A23" s="4"/>
      <c r="B23" s="8"/>
      <c r="C23" s="8"/>
      <c r="D23" s="7">
        <f t="shared" si="0"/>
        <v>0</v>
      </c>
      <c r="E23" s="7">
        <f t="shared" si="1"/>
        <v>0</v>
      </c>
      <c r="F23" s="7">
        <f t="shared" si="2"/>
        <v>0</v>
      </c>
    </row>
    <row r="24" spans="1:6" x14ac:dyDescent="0.25">
      <c r="A24" s="4"/>
      <c r="B24" s="8"/>
      <c r="C24" s="8"/>
      <c r="D24" s="7">
        <f t="shared" si="0"/>
        <v>0</v>
      </c>
      <c r="E24" s="7">
        <f t="shared" si="1"/>
        <v>0</v>
      </c>
      <c r="F24" s="7">
        <f t="shared" si="2"/>
        <v>0</v>
      </c>
    </row>
    <row r="25" spans="1:6" x14ac:dyDescent="0.25">
      <c r="A25" s="4"/>
      <c r="B25" s="8"/>
      <c r="C25" s="8"/>
      <c r="D25" s="7">
        <f t="shared" si="0"/>
        <v>0</v>
      </c>
      <c r="E25" s="7">
        <f t="shared" si="1"/>
        <v>0</v>
      </c>
      <c r="F25" s="7">
        <f t="shared" si="2"/>
        <v>0</v>
      </c>
    </row>
    <row r="26" spans="1:6" x14ac:dyDescent="0.25">
      <c r="A26" s="4"/>
      <c r="B26" s="8"/>
      <c r="C26" s="8"/>
      <c r="D26" s="7">
        <f t="shared" si="0"/>
        <v>0</v>
      </c>
      <c r="E26" s="7">
        <f t="shared" si="1"/>
        <v>0</v>
      </c>
      <c r="F26" s="7">
        <f t="shared" si="2"/>
        <v>0</v>
      </c>
    </row>
    <row r="27" spans="1:6" x14ac:dyDescent="0.25">
      <c r="A27" s="5"/>
      <c r="B27" s="8"/>
      <c r="C27" s="9"/>
      <c r="D27" s="7">
        <f t="shared" si="0"/>
        <v>0</v>
      </c>
      <c r="E27" s="7">
        <f t="shared" si="1"/>
        <v>0</v>
      </c>
      <c r="F27" s="7">
        <f t="shared" si="2"/>
        <v>0</v>
      </c>
    </row>
    <row r="28" spans="1:6" x14ac:dyDescent="0.25">
      <c r="A28" t="s">
        <v>15</v>
      </c>
      <c r="D28" s="6">
        <f>SUM(D13:D27)</f>
        <v>2650</v>
      </c>
      <c r="E28" s="6">
        <f t="shared" ref="E28:F28" si="3">SUM(E13:E27)</f>
        <v>455.5</v>
      </c>
      <c r="F28" s="6">
        <f t="shared" si="3"/>
        <v>3105.5</v>
      </c>
    </row>
    <row r="36" spans="2:2" x14ac:dyDescent="0.25">
      <c r="B36" s="6"/>
    </row>
    <row r="37" spans="2:2" x14ac:dyDescent="0.25">
      <c r="B37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2026-09-26T16:32:34Z</dcterms:created>
  <dcterms:modified xsi:type="dcterms:W3CDTF">2026-10-01T16:27:22Z</dcterms:modified>
</cp:coreProperties>
</file>